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DB783F51-5A93-4D87-999B-3A329D3AEFA7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0304" sheetId="33" r:id="rId1"/>
    <sheet name="0319" sheetId="34" r:id="rId2"/>
  </sheets>
  <functionGroups builtInGroupCount="19"/>
  <externalReferences>
    <externalReference r:id="rId3"/>
  </externalReferences>
  <definedNames>
    <definedName name="Coupon">#REF!</definedName>
    <definedName name="CS_DF">#REF!</definedName>
    <definedName name="DF_03">#REF!</definedName>
    <definedName name="DF_06">#REF!</definedName>
    <definedName name="DF_09">#REF!</definedName>
    <definedName name="DF_1712">#REF!</definedName>
    <definedName name="DF_CS_03">#REF!</definedName>
    <definedName name="DF_CS_06">#REF!</definedName>
    <definedName name="DF_CS_09">#REF!</definedName>
    <definedName name="DF_CS_1712">#REF!</definedName>
    <definedName name="DF_CS_Inception">'[1]Inception DF'!$D$2:$E$34</definedName>
    <definedName name="DF_CS_YE">#REF!</definedName>
    <definedName name="DF_Inception">'[1]Inception DF'!$A$2:$B$34</definedName>
    <definedName name="DF_YE">#REF!</definedName>
    <definedName name="solver_adj" localSheetId="1" hidden="1">'0319'!$E$19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'0319'!$F$19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1.08</definedName>
    <definedName name="solver_ver" localSheetId="1" hidden="1">3</definedName>
  </definedNames>
  <calcPr calcId="162913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34" l="1"/>
  <c r="C23" i="34"/>
  <c r="E19" i="33"/>
  <c r="K4" i="33"/>
  <c r="L5" i="33" s="1"/>
  <c r="K5" i="33"/>
  <c r="K6" i="33"/>
  <c r="L6" i="33"/>
  <c r="K7" i="33"/>
  <c r="K8" i="33"/>
  <c r="L8" i="33"/>
  <c r="K9" i="33"/>
  <c r="K10" i="33"/>
  <c r="L10" i="33"/>
  <c r="K11" i="33"/>
  <c r="K12" i="33"/>
  <c r="L12" i="33"/>
  <c r="K13" i="33"/>
  <c r="L13" i="33" s="1"/>
  <c r="K14" i="33"/>
  <c r="L14" i="33"/>
  <c r="K15" i="33"/>
  <c r="L15" i="33" s="1"/>
  <c r="K16" i="33"/>
  <c r="L16" i="33"/>
  <c r="K17" i="33"/>
  <c r="L17" i="33" s="1"/>
  <c r="K5" i="34"/>
  <c r="K17" i="34"/>
  <c r="L17" i="34" s="1"/>
  <c r="K4" i="34"/>
  <c r="L5" i="34" s="1"/>
  <c r="K6" i="34"/>
  <c r="L6" i="34"/>
  <c r="K7" i="34"/>
  <c r="L7" i="34" s="1"/>
  <c r="K8" i="34"/>
  <c r="L8" i="34"/>
  <c r="K9" i="34"/>
  <c r="L9" i="34" s="1"/>
  <c r="K10" i="34"/>
  <c r="L10" i="34"/>
  <c r="K11" i="34"/>
  <c r="L11" i="34" s="1"/>
  <c r="K12" i="34"/>
  <c r="L12" i="34"/>
  <c r="K13" i="34"/>
  <c r="L13" i="34" s="1"/>
  <c r="K14" i="34"/>
  <c r="L14" i="34"/>
  <c r="K15" i="34"/>
  <c r="L15" i="34" s="1"/>
  <c r="K16" i="34"/>
  <c r="L16" i="34"/>
  <c r="F23" i="34"/>
  <c r="E23" i="34"/>
  <c r="F24" i="34" l="1"/>
  <c r="E24" i="34"/>
  <c r="L11" i="33"/>
  <c r="L9" i="33"/>
  <c r="L7" i="33"/>
  <c r="E23" i="33"/>
  <c r="F23" i="33"/>
  <c r="F24" i="33" l="1"/>
</calcChain>
</file>

<file path=xl/sharedStrings.xml><?xml version="1.0" encoding="utf-8"?>
<sst xmlns="http://schemas.openxmlformats.org/spreadsheetml/2006/main" count="50" uniqueCount="23">
  <si>
    <t>Date</t>
  </si>
  <si>
    <t>Valuation Date</t>
  </si>
  <si>
    <t>Issuance Date</t>
  </si>
  <si>
    <t>Expiration Date</t>
  </si>
  <si>
    <t>Notional Amout</t>
  </si>
  <si>
    <t>Days Conversion</t>
  </si>
  <si>
    <t>Number of Time Steps</t>
  </si>
  <si>
    <t>Stock Price</t>
  </si>
  <si>
    <t>Stock Volatility</t>
  </si>
  <si>
    <t>Dividend Yield</t>
  </si>
  <si>
    <t>Credit Spread</t>
  </si>
  <si>
    <t>Conversion Price</t>
  </si>
  <si>
    <t>Call Date</t>
  </si>
  <si>
    <t>Call Price</t>
  </si>
  <si>
    <t>Conversion Date</t>
  </si>
  <si>
    <t>Grid Date</t>
  </si>
  <si>
    <t>Discount Factor</t>
  </si>
  <si>
    <t>Coupon</t>
  </si>
  <si>
    <t>Coupon Payment Table</t>
  </si>
  <si>
    <t>Outstanding Share</t>
  </si>
  <si>
    <t>Discount rate (curve)- equity</t>
  </si>
  <si>
    <t>Discount rate (curve)  - bond</t>
  </si>
  <si>
    <t>Convertible Bond Model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</si>
</sst>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_(* #,##0_);_(* \(#,##0\);_(* &quot;-&quot;??_);_(@_)"/>
    <numFmt numFmtId="166" formatCode="0.000%"/>
    <numFmt numFmtId="167" formatCode="_ * #,##0_ ;_ * \-#,##0_ ;_ * &quot;-&quot;??_ ;_ @_ "/>
    <numFmt numFmtId="168" formatCode="_(* #,##0.00_);_(* \(#,##0.00\);_(* &quot;-&quot;??_);_(@_)"/>
    <numFmt numFmtId="169" formatCode="_ * #,##0.0000_ ;_ * \-#,##0.0000_ ;_ * &quot;-&quot;??_ ;_ @_ "/>
  </numFmts>
  <fonts count="5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4" fillId="4" borderId="4" xfId="0" applyFont="1" applyFill="1" applyBorder="1"/>
    <xf numFmtId="0" fontId="4" fillId="4" borderId="0" xfId="0" applyFont="1" applyFill="1" applyBorder="1"/>
    <xf numFmtId="0" fontId="4" fillId="4" borderId="5" xfId="0" applyFont="1" applyFill="1" applyBorder="1"/>
    <xf numFmtId="14" fontId="0" fillId="0" borderId="6" xfId="0" applyNumberFormat="1" applyFill="1" applyBorder="1"/>
    <xf numFmtId="165" fontId="0" fillId="0" borderId="6" xfId="2" applyNumberFormat="1" applyFont="1" applyFill="1" applyBorder="1"/>
    <xf numFmtId="0" fontId="0" fillId="0" borderId="6" xfId="0" applyBorder="1"/>
    <xf numFmtId="0" fontId="0" fillId="0" borderId="6" xfId="0" applyFill="1" applyBorder="1"/>
    <xf numFmtId="166" fontId="0" fillId="0" borderId="6" xfId="0" applyNumberFormat="1" applyFill="1" applyBorder="1"/>
    <xf numFmtId="10" fontId="0" fillId="0" borderId="6" xfId="3" applyNumberFormat="1" applyFont="1" applyFill="1" applyBorder="1"/>
    <xf numFmtId="0" fontId="4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167" fontId="0" fillId="0" borderId="0" xfId="2" applyNumberFormat="1" applyFont="1"/>
    <xf numFmtId="14" fontId="0" fillId="0" borderId="6" xfId="0" applyNumberFormat="1" applyBorder="1"/>
    <xf numFmtId="0" fontId="4" fillId="4" borderId="0" xfId="0" applyFont="1" applyFill="1" applyBorder="1" applyAlignment="1">
      <alignment horizontal="right" wrapText="1"/>
    </xf>
    <xf numFmtId="0" fontId="4" fillId="4" borderId="0" xfId="0" applyFont="1" applyFill="1" applyBorder="1" applyAlignment="1">
      <alignment horizontal="right"/>
    </xf>
    <xf numFmtId="0" fontId="4" fillId="4" borderId="0" xfId="0" applyFont="1" applyFill="1" applyBorder="1" applyAlignment="1">
      <alignment horizontal="center"/>
    </xf>
    <xf numFmtId="14" fontId="0" fillId="5" borderId="6" xfId="0" applyNumberFormat="1" applyFill="1" applyBorder="1"/>
    <xf numFmtId="0" fontId="0" fillId="5" borderId="6" xfId="0" applyFill="1" applyBorder="1"/>
    <xf numFmtId="166" fontId="0" fillId="5" borderId="6" xfId="0" applyNumberFormat="1" applyFill="1" applyBorder="1"/>
    <xf numFmtId="0" fontId="4" fillId="4" borderId="1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14" fontId="0" fillId="0" borderId="0" xfId="0" applyNumberFormat="1" applyBorder="1"/>
    <xf numFmtId="167" fontId="0" fillId="5" borderId="6" xfId="2" applyNumberFormat="1" applyFont="1" applyFill="1" applyBorder="1"/>
    <xf numFmtId="168" fontId="0" fillId="0" borderId="6" xfId="2" applyNumberFormat="1" applyFont="1" applyFill="1" applyBorder="1"/>
    <xf numFmtId="167" fontId="0" fillId="0" borderId="6" xfId="2" applyNumberFormat="1" applyFont="1" applyFill="1" applyBorder="1"/>
    <xf numFmtId="169" fontId="0" fillId="0" borderId="0" xfId="0" applyNumberFormat="1"/>
    <xf numFmtId="167" fontId="0" fillId="0" borderId="0" xfId="0" applyNumberFormat="1"/>
    <xf numFmtId="9" fontId="0" fillId="0" borderId="0" xfId="3" applyFont="1"/>
    <xf numFmtId="0" fontId="4" fillId="4" borderId="0" xfId="0" applyFont="1" applyFill="1" applyBorder="1" applyAlignment="1">
      <alignment horizontal="right" wrapText="1"/>
    </xf>
    <xf numFmtId="0" fontId="4" fillId="4" borderId="0" xfId="0" applyFont="1" applyFill="1" applyBorder="1" applyAlignment="1">
      <alignment horizontal="right"/>
    </xf>
    <xf numFmtId="0" fontId="4" fillId="4" borderId="7" xfId="0" applyFont="1" applyFill="1" applyBorder="1" applyAlignment="1">
      <alignment horizontal="right" wrapText="1"/>
    </xf>
    <xf numFmtId="0" fontId="4" fillId="4" borderId="11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4">
    <cellStyle name="blp_column_header" xfId="1" xr:uid="{00000000-0005-0000-0000-000000000000}"/>
    <cellStyle name="Comma" xfId="2" builtinId="3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aluation/2018%20YE%20Request/Req%20Inovalis/Inovalis%20No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ssword (do not delete)"/>
      <sheetName val="Inception"/>
      <sheetName val="YE"/>
      <sheetName val="FV Change due Credit Spread"/>
      <sheetName val="Attribution Analysis"/>
      <sheetName val="Attribution Table"/>
      <sheetName val="Coupon Table"/>
      <sheetName val="KMV"/>
      <sheetName val="YE Input ---&gt;"/>
      <sheetName val="REIT YE Input"/>
      <sheetName val="YE DF"/>
      <sheetName val="Inception Input ---&gt;"/>
      <sheetName val="REIT Inception Input"/>
      <sheetName val="Inception DF"/>
      <sheetName val="Fincad Benchmark ---&gt;"/>
      <sheetName val="Fincad"/>
      <sheetName val="Holiday"/>
      <sheetName val="Inception(no issuer conversion)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>
        <row r="2">
          <cell r="A2">
            <v>43209</v>
          </cell>
          <cell r="B2">
            <v>1</v>
          </cell>
          <cell r="D2">
            <v>43209</v>
          </cell>
          <cell r="E2">
            <v>1</v>
          </cell>
        </row>
        <row r="3">
          <cell r="A3">
            <v>43396</v>
          </cell>
          <cell r="B3">
            <v>1.00137438634526</v>
          </cell>
          <cell r="D3">
            <v>43396</v>
          </cell>
          <cell r="E3">
            <v>0.99460096183090807</v>
          </cell>
        </row>
        <row r="4">
          <cell r="A4">
            <v>43427</v>
          </cell>
          <cell r="B4">
            <v>1.0016132157326101</v>
          </cell>
          <cell r="D4">
            <v>43427</v>
          </cell>
          <cell r="E4">
            <v>0.99371933623454922</v>
          </cell>
        </row>
        <row r="5">
          <cell r="A5">
            <v>43458</v>
          </cell>
          <cell r="B5">
            <v>1.0018215733737901</v>
          </cell>
          <cell r="D5">
            <v>43458</v>
          </cell>
          <cell r="E5">
            <v>0.99280863622401028</v>
          </cell>
        </row>
        <row r="6">
          <cell r="A6">
            <v>43488</v>
          </cell>
          <cell r="B6">
            <v>1.0020425203802901</v>
          </cell>
          <cell r="D6">
            <v>43488</v>
          </cell>
          <cell r="E6">
            <v>0.99194693244875765</v>
          </cell>
        </row>
        <row r="7">
          <cell r="A7">
            <v>43521</v>
          </cell>
          <cell r="B7">
            <v>1.00225786462056</v>
          </cell>
          <cell r="D7">
            <v>43521</v>
          </cell>
          <cell r="E7">
            <v>0.99097284198428071</v>
          </cell>
        </row>
        <row r="8">
          <cell r="A8">
            <v>43549</v>
          </cell>
          <cell r="B8">
            <v>1.0024376112550799</v>
          </cell>
          <cell r="D8">
            <v>43549</v>
          </cell>
          <cell r="E8">
            <v>0.99014416110441361</v>
          </cell>
        </row>
        <row r="9">
          <cell r="A9">
            <v>43578</v>
          </cell>
          <cell r="B9">
            <v>1.00262131305159</v>
          </cell>
          <cell r="D9">
            <v>43578</v>
          </cell>
          <cell r="E9">
            <v>0.98928418232558657</v>
          </cell>
        </row>
        <row r="10">
          <cell r="A10">
            <v>43608</v>
          </cell>
          <cell r="B10">
            <v>1.0027728110694101</v>
          </cell>
          <cell r="D10">
            <v>43608</v>
          </cell>
          <cell r="E10">
            <v>0.98835781613467988</v>
          </cell>
        </row>
        <row r="11">
          <cell r="A11">
            <v>43640</v>
          </cell>
          <cell r="B11">
            <v>1.0029218343439501</v>
          </cell>
          <cell r="D11">
            <v>43640</v>
          </cell>
          <cell r="E11">
            <v>0.98735840715192191</v>
          </cell>
        </row>
        <row r="12">
          <cell r="A12">
            <v>43669</v>
          </cell>
          <cell r="B12">
            <v>1.00304104774332</v>
          </cell>
          <cell r="D12">
            <v>43669</v>
          </cell>
          <cell r="E12">
            <v>0.98643817526405531</v>
          </cell>
        </row>
        <row r="13">
          <cell r="A13">
            <v>43700</v>
          </cell>
          <cell r="B13">
            <v>1.00313571983494</v>
          </cell>
          <cell r="D13">
            <v>43700</v>
          </cell>
          <cell r="E13">
            <v>0.98542365125232467</v>
          </cell>
        </row>
        <row r="14">
          <cell r="A14">
            <v>43731</v>
          </cell>
          <cell r="B14">
            <v>1.00321867272617</v>
          </cell>
          <cell r="D14">
            <v>43731</v>
          </cell>
          <cell r="E14">
            <v>0.98439881381190775</v>
          </cell>
        </row>
        <row r="15">
          <cell r="A15">
            <v>43761</v>
          </cell>
          <cell r="B15">
            <v>1.00327411007255</v>
          </cell>
          <cell r="D15">
            <v>43761</v>
          </cell>
          <cell r="E15">
            <v>0.98338401710912771</v>
          </cell>
        </row>
        <row r="16">
          <cell r="A16">
            <v>43944</v>
          </cell>
          <cell r="B16">
            <v>1.0028548212275801</v>
          </cell>
          <cell r="D16">
            <v>43944</v>
          </cell>
          <cell r="E16">
            <v>0.97648846303022052</v>
          </cell>
        </row>
        <row r="17">
          <cell r="A17">
            <v>44309</v>
          </cell>
          <cell r="B17">
            <v>0.99871264569311202</v>
          </cell>
          <cell r="D17">
            <v>44309</v>
          </cell>
          <cell r="E17">
            <v>0.95974345508827374</v>
          </cell>
        </row>
        <row r="18">
          <cell r="A18">
            <v>44676</v>
          </cell>
          <cell r="B18">
            <v>0.99045163764648303</v>
          </cell>
          <cell r="D18">
            <v>44676</v>
          </cell>
          <cell r="E18">
            <v>0.93934620437008232</v>
          </cell>
        </row>
        <row r="19">
          <cell r="A19">
            <v>45040</v>
          </cell>
          <cell r="B19">
            <v>0.97948612725413597</v>
          </cell>
          <cell r="D19">
            <v>45040</v>
          </cell>
          <cell r="E19">
            <v>0.91692045842852754</v>
          </cell>
        </row>
        <row r="20">
          <cell r="A20">
            <v>45405</v>
          </cell>
          <cell r="B20">
            <v>0.96670696701938397</v>
          </cell>
          <cell r="D20">
            <v>45405</v>
          </cell>
          <cell r="E20">
            <v>0.89323297044293959</v>
          </cell>
        </row>
        <row r="21">
          <cell r="A21">
            <v>45770</v>
          </cell>
          <cell r="B21">
            <v>0.95225434099320005</v>
          </cell>
          <cell r="D21">
            <v>45770</v>
          </cell>
          <cell r="E21">
            <v>0.86850086998393539</v>
          </cell>
        </row>
        <row r="22">
          <cell r="A22">
            <v>46135</v>
          </cell>
          <cell r="B22">
            <v>0.93665159106370099</v>
          </cell>
          <cell r="D22">
            <v>46135</v>
          </cell>
          <cell r="E22">
            <v>0.84323953722206291</v>
          </cell>
        </row>
        <row r="23">
          <cell r="A23">
            <v>46500</v>
          </cell>
          <cell r="B23">
            <v>0.919872709809613</v>
          </cell>
          <cell r="D23">
            <v>46500</v>
          </cell>
          <cell r="E23">
            <v>0.81745705516765832</v>
          </cell>
        </row>
        <row r="24">
          <cell r="A24">
            <v>46867</v>
          </cell>
          <cell r="B24">
            <v>0.90240189829145501</v>
          </cell>
          <cell r="D24">
            <v>46867</v>
          </cell>
          <cell r="E24">
            <v>0.79154617126710469</v>
          </cell>
        </row>
        <row r="25">
          <cell r="A25">
            <v>47231</v>
          </cell>
          <cell r="B25">
            <v>0.88479112327868203</v>
          </cell>
          <cell r="D25">
            <v>47231</v>
          </cell>
          <cell r="E25">
            <v>0.76613653009179827</v>
          </cell>
        </row>
        <row r="26">
          <cell r="A26">
            <v>47596</v>
          </cell>
          <cell r="B26">
            <v>0.86692886975297501</v>
          </cell>
          <cell r="D26">
            <v>47596</v>
          </cell>
          <cell r="E26">
            <v>0.74101354984434742</v>
          </cell>
        </row>
        <row r="27">
          <cell r="A27">
            <v>48694</v>
          </cell>
          <cell r="B27">
            <v>0.81466862777918903</v>
          </cell>
          <cell r="D27">
            <v>48694</v>
          </cell>
          <cell r="E27">
            <v>0.6697515533125673</v>
          </cell>
        </row>
        <row r="28">
          <cell r="A28">
            <v>50522</v>
          </cell>
          <cell r="B28">
            <v>0.73866869719975903</v>
          </cell>
          <cell r="D28">
            <v>50522</v>
          </cell>
          <cell r="E28">
            <v>0.56911274332702966</v>
          </cell>
        </row>
        <row r="29">
          <cell r="A29">
            <v>52344</v>
          </cell>
          <cell r="B29">
            <v>0.67913980068685098</v>
          </cell>
          <cell r="D29">
            <v>52344</v>
          </cell>
          <cell r="E29">
            <v>0.49038793481197157</v>
          </cell>
        </row>
        <row r="30">
          <cell r="A30">
            <v>54171</v>
          </cell>
          <cell r="B30">
            <v>0.62923160386649102</v>
          </cell>
          <cell r="D30">
            <v>54171</v>
          </cell>
          <cell r="E30">
            <v>0.42569769618788583</v>
          </cell>
        </row>
        <row r="31">
          <cell r="A31">
            <v>55997</v>
          </cell>
          <cell r="B31">
            <v>0.58355369340074104</v>
          </cell>
          <cell r="D31">
            <v>55997</v>
          </cell>
          <cell r="E31">
            <v>0.36990659636737244</v>
          </cell>
        </row>
        <row r="32">
          <cell r="A32">
            <v>57823</v>
          </cell>
          <cell r="B32">
            <v>0.54474887493064295</v>
          </cell>
          <cell r="D32">
            <v>57823</v>
          </cell>
          <cell r="E32">
            <v>0.32351266704133463</v>
          </cell>
        </row>
        <row r="33">
          <cell r="A33">
            <v>59649</v>
          </cell>
          <cell r="B33">
            <v>0.51152813333682201</v>
          </cell>
          <cell r="D33">
            <v>59649</v>
          </cell>
          <cell r="E33">
            <v>0.28458701518981261</v>
          </cell>
        </row>
        <row r="34">
          <cell r="A34">
            <v>61476</v>
          </cell>
          <cell r="B34">
            <v>0.481942899486903</v>
          </cell>
          <cell r="D34">
            <v>61476</v>
          </cell>
          <cell r="E34">
            <v>0.25116390045193576</v>
          </cell>
        </row>
      </sheetData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P24"/>
  <sheetViews>
    <sheetView tabSelected="1" workbookViewId="0">
      <selection activeCell="H25" sqref="H25"/>
    </sheetView>
  </sheetViews>
  <sheetFormatPr defaultRowHeight="14.4" x14ac:dyDescent="0.3"/>
  <cols>
    <col min="4" max="4" width="9.5546875" bestFit="1" customWidth="1"/>
    <col min="5" max="5" width="16.88671875" bestFit="1" customWidth="1"/>
    <col min="6" max="6" width="15.88671875" bestFit="1" customWidth="1"/>
    <col min="8" max="8" width="11.109375" customWidth="1"/>
    <col min="9" max="9" width="15.5546875" customWidth="1"/>
    <col min="11" max="11" width="10.88671875" customWidth="1"/>
    <col min="12" max="12" width="15.5546875" customWidth="1"/>
    <col min="14" max="14" width="21.5546875" customWidth="1"/>
    <col min="15" max="16" width="21.21875" customWidth="1"/>
  </cols>
  <sheetData>
    <row r="1" spans="1:16" ht="18.600000000000001" thickBot="1" x14ac:dyDescent="0.4">
      <c r="A1" s="36" t="s">
        <v>22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</row>
    <row r="2" spans="1:16" ht="14.4" customHeight="1" thickBot="1" x14ac:dyDescent="0.35">
      <c r="A2" s="1"/>
      <c r="B2" s="2"/>
      <c r="C2" s="2"/>
      <c r="D2" s="2"/>
      <c r="E2" s="2"/>
      <c r="F2" s="3"/>
      <c r="G2" s="21"/>
      <c r="H2" s="34" t="s">
        <v>20</v>
      </c>
      <c r="I2" s="35"/>
      <c r="J2" s="22"/>
      <c r="K2" s="34" t="s">
        <v>21</v>
      </c>
      <c r="L2" s="35"/>
      <c r="M2" s="22"/>
      <c r="N2" s="34" t="s">
        <v>18</v>
      </c>
      <c r="O2" s="35"/>
      <c r="P2" s="23"/>
    </row>
    <row r="3" spans="1:16" x14ac:dyDescent="0.3">
      <c r="A3" s="1"/>
      <c r="B3" s="2"/>
      <c r="C3" s="31" t="s">
        <v>1</v>
      </c>
      <c r="D3" s="31"/>
      <c r="E3" s="4">
        <v>43528</v>
      </c>
      <c r="F3" s="3"/>
      <c r="G3" s="1"/>
      <c r="H3" s="17" t="s">
        <v>15</v>
      </c>
      <c r="I3" s="17" t="s">
        <v>16</v>
      </c>
      <c r="J3" s="2"/>
      <c r="K3" s="17" t="s">
        <v>15</v>
      </c>
      <c r="L3" s="17" t="s">
        <v>16</v>
      </c>
      <c r="M3" s="2"/>
      <c r="N3" s="17" t="s">
        <v>0</v>
      </c>
      <c r="O3" s="17" t="s">
        <v>17</v>
      </c>
      <c r="P3" s="3"/>
    </row>
    <row r="4" spans="1:16" x14ac:dyDescent="0.3">
      <c r="A4" s="1"/>
      <c r="B4" s="2"/>
      <c r="C4" s="31" t="s">
        <v>2</v>
      </c>
      <c r="D4" s="31"/>
      <c r="E4" s="4">
        <v>43528</v>
      </c>
      <c r="F4" s="3"/>
      <c r="G4" s="1"/>
      <c r="H4" s="18">
        <v>43528</v>
      </c>
      <c r="I4" s="19">
        <v>1</v>
      </c>
      <c r="J4" s="2"/>
      <c r="K4" s="24">
        <f>H4</f>
        <v>43528</v>
      </c>
      <c r="L4" s="6">
        <v>1</v>
      </c>
      <c r="M4" s="2"/>
      <c r="N4" s="18">
        <v>43894</v>
      </c>
      <c r="O4" s="20">
        <v>3.0000000000000001E-3</v>
      </c>
      <c r="P4" s="3"/>
    </row>
    <row r="5" spans="1:16" x14ac:dyDescent="0.3">
      <c r="A5" s="1"/>
      <c r="B5" s="2"/>
      <c r="C5" s="31" t="s">
        <v>3</v>
      </c>
      <c r="D5" s="31"/>
      <c r="E5" s="4">
        <v>45719</v>
      </c>
      <c r="F5" s="3"/>
      <c r="G5" s="1"/>
      <c r="H5" s="18">
        <v>43536</v>
      </c>
      <c r="I5" s="19">
        <v>0.99953743628642999</v>
      </c>
      <c r="J5" s="2"/>
      <c r="K5" s="24">
        <f t="shared" ref="K5:K17" si="0">H5</f>
        <v>43536</v>
      </c>
      <c r="L5" s="19">
        <f>EXP(-(-LN(I5)/YEARFRAC($K$4,K5,3)+$E$19)*YEARFRAC($K$4,K5,3))</f>
        <v>0.99941476086407399</v>
      </c>
      <c r="M5" s="2"/>
      <c r="N5" s="18">
        <v>44259</v>
      </c>
      <c r="O5" s="20">
        <v>8.0000000000000002E-3</v>
      </c>
      <c r="P5" s="3"/>
    </row>
    <row r="6" spans="1:16" x14ac:dyDescent="0.3">
      <c r="A6" s="1"/>
      <c r="B6" s="2"/>
      <c r="C6" s="15"/>
      <c r="D6" s="15"/>
      <c r="E6" s="2"/>
      <c r="F6" s="3"/>
      <c r="G6" s="1"/>
      <c r="H6" s="18">
        <v>43543</v>
      </c>
      <c r="I6" s="19">
        <v>0.99905822111689402</v>
      </c>
      <c r="J6" s="2"/>
      <c r="K6" s="24">
        <f t="shared" si="0"/>
        <v>43543</v>
      </c>
      <c r="L6" s="19">
        <f t="shared" ref="L6:L17" si="1">EXP(-(-LN(I6)/YEARFRAC($K$4,K6,3)+$E$19)*YEARFRAC($K$4,K6,3))</f>
        <v>0.99882832732329363</v>
      </c>
      <c r="M6" s="2"/>
      <c r="N6" s="18">
        <v>44624</v>
      </c>
      <c r="O6" s="20">
        <v>1.4999999999999999E-2</v>
      </c>
      <c r="P6" s="3"/>
    </row>
    <row r="7" spans="1:16" x14ac:dyDescent="0.3">
      <c r="A7" s="1"/>
      <c r="B7" s="2"/>
      <c r="C7" s="31" t="s">
        <v>12</v>
      </c>
      <c r="D7" s="31"/>
      <c r="E7" s="16" t="s">
        <v>13</v>
      </c>
      <c r="F7" s="3"/>
      <c r="G7" s="1"/>
      <c r="H7" s="18">
        <v>43563</v>
      </c>
      <c r="I7" s="19">
        <v>0.99746024455951898</v>
      </c>
      <c r="J7" s="2"/>
      <c r="K7" s="24">
        <f t="shared" si="0"/>
        <v>43563</v>
      </c>
      <c r="L7" s="19">
        <f t="shared" si="1"/>
        <v>0.99692476585726064</v>
      </c>
      <c r="M7" s="2"/>
      <c r="N7" s="18">
        <v>44989</v>
      </c>
      <c r="O7" s="20">
        <v>2.3E-2</v>
      </c>
      <c r="P7" s="3"/>
    </row>
    <row r="8" spans="1:16" x14ac:dyDescent="0.3">
      <c r="A8" s="1"/>
      <c r="B8" s="2"/>
      <c r="C8" s="15"/>
      <c r="D8" s="4">
        <v>43719</v>
      </c>
      <c r="E8" s="6">
        <v>100</v>
      </c>
      <c r="F8" s="3"/>
      <c r="G8" s="1"/>
      <c r="H8" s="18">
        <v>43621</v>
      </c>
      <c r="I8" s="19">
        <v>0.99302126720547301</v>
      </c>
      <c r="J8" s="2"/>
      <c r="K8" s="24">
        <f t="shared" si="0"/>
        <v>43621</v>
      </c>
      <c r="L8" s="19">
        <f t="shared" si="1"/>
        <v>0.9916053858553957</v>
      </c>
      <c r="M8" s="2"/>
      <c r="N8" s="18">
        <v>45355</v>
      </c>
      <c r="O8" s="20">
        <v>3.2000000000000001E-2</v>
      </c>
      <c r="P8" s="3"/>
    </row>
    <row r="9" spans="1:16" ht="14.4" customHeight="1" x14ac:dyDescent="0.3">
      <c r="A9" s="1"/>
      <c r="B9" s="2"/>
      <c r="C9" s="31" t="s">
        <v>14</v>
      </c>
      <c r="D9" s="31"/>
      <c r="E9" s="16" t="s">
        <v>11</v>
      </c>
      <c r="F9" s="3"/>
      <c r="G9" s="1"/>
      <c r="H9" s="18">
        <v>43713</v>
      </c>
      <c r="I9" s="19">
        <v>0.985636570393147</v>
      </c>
      <c r="J9" s="2"/>
      <c r="K9" s="24">
        <f t="shared" si="0"/>
        <v>43713</v>
      </c>
      <c r="L9" s="19">
        <f t="shared" si="1"/>
        <v>0.98284294927909732</v>
      </c>
      <c r="M9" s="2"/>
      <c r="N9" s="18">
        <v>45719</v>
      </c>
      <c r="O9" s="20">
        <v>0.04</v>
      </c>
      <c r="P9" s="3"/>
    </row>
    <row r="10" spans="1:16" x14ac:dyDescent="0.3">
      <c r="A10" s="1"/>
      <c r="B10" s="2"/>
      <c r="C10" s="15"/>
      <c r="D10" s="4">
        <v>43719</v>
      </c>
      <c r="E10" s="26">
        <v>7.45</v>
      </c>
      <c r="F10" s="26">
        <v>0</v>
      </c>
      <c r="G10" s="1"/>
      <c r="H10" s="18">
        <v>43804</v>
      </c>
      <c r="I10" s="19">
        <v>0.97802006610028402</v>
      </c>
      <c r="J10" s="2"/>
      <c r="K10" s="24">
        <f t="shared" si="0"/>
        <v>43804</v>
      </c>
      <c r="L10" s="19">
        <f t="shared" si="1"/>
        <v>0.97388737618957888</v>
      </c>
      <c r="M10" s="2"/>
      <c r="N10" s="2"/>
      <c r="O10" s="2"/>
      <c r="P10" s="3"/>
    </row>
    <row r="11" spans="1:16" x14ac:dyDescent="0.3">
      <c r="A11" s="1"/>
      <c r="B11" s="2"/>
      <c r="C11" s="2"/>
      <c r="D11" s="2"/>
      <c r="E11" s="2"/>
      <c r="F11" s="3"/>
      <c r="G11" s="1"/>
      <c r="H11" s="18">
        <v>43895</v>
      </c>
      <c r="I11" s="19">
        <v>0.97026906540496805</v>
      </c>
      <c r="J11" s="2"/>
      <c r="K11" s="24">
        <f t="shared" si="0"/>
        <v>43895</v>
      </c>
      <c r="L11" s="19">
        <f t="shared" si="1"/>
        <v>0.9648211381734646</v>
      </c>
      <c r="M11" s="2"/>
      <c r="N11" s="2"/>
      <c r="O11" s="2"/>
      <c r="P11" s="3"/>
    </row>
    <row r="12" spans="1:16" x14ac:dyDescent="0.3">
      <c r="A12" s="1"/>
      <c r="B12" s="2"/>
      <c r="C12" s="32" t="s">
        <v>4</v>
      </c>
      <c r="D12" s="32"/>
      <c r="E12" s="5">
        <v>40000000000</v>
      </c>
      <c r="F12" s="3"/>
      <c r="G12" s="1"/>
      <c r="H12" s="18">
        <v>44260</v>
      </c>
      <c r="I12" s="19">
        <v>0.938468555471203</v>
      </c>
      <c r="J12" s="2"/>
      <c r="K12" s="24">
        <f t="shared" si="0"/>
        <v>44260</v>
      </c>
      <c r="L12" s="19">
        <f t="shared" si="1"/>
        <v>0.92798787358362322</v>
      </c>
      <c r="M12" s="2"/>
      <c r="N12" s="2"/>
      <c r="O12" s="2"/>
      <c r="P12" s="3"/>
    </row>
    <row r="13" spans="1:16" x14ac:dyDescent="0.3">
      <c r="A13" s="1"/>
      <c r="B13" s="2"/>
      <c r="C13" s="32" t="s">
        <v>5</v>
      </c>
      <c r="D13" s="32"/>
      <c r="E13" s="6">
        <v>3</v>
      </c>
      <c r="F13" s="3"/>
      <c r="G13" s="1"/>
      <c r="H13" s="18">
        <v>44627</v>
      </c>
      <c r="I13" s="19">
        <v>0.90540561429876798</v>
      </c>
      <c r="J13" s="2"/>
      <c r="K13" s="24">
        <f t="shared" si="0"/>
        <v>44627</v>
      </c>
      <c r="L13" s="19">
        <f t="shared" si="1"/>
        <v>0.89026722104330958</v>
      </c>
      <c r="M13" s="2"/>
      <c r="N13" s="2"/>
      <c r="O13" s="2"/>
      <c r="P13" s="3"/>
    </row>
    <row r="14" spans="1:16" x14ac:dyDescent="0.3">
      <c r="A14" s="1"/>
      <c r="B14" s="2"/>
      <c r="C14" s="31" t="s">
        <v>6</v>
      </c>
      <c r="D14" s="33"/>
      <c r="E14" s="27">
        <v>200</v>
      </c>
      <c r="F14" s="3"/>
      <c r="G14" s="1"/>
      <c r="H14" s="18">
        <v>44991</v>
      </c>
      <c r="I14" s="19">
        <v>0.87208959088087801</v>
      </c>
      <c r="J14" s="2"/>
      <c r="K14" s="24">
        <f t="shared" si="0"/>
        <v>44991</v>
      </c>
      <c r="L14" s="19">
        <f t="shared" si="1"/>
        <v>0.85273269938843554</v>
      </c>
      <c r="M14" s="2"/>
      <c r="N14" s="2"/>
      <c r="O14" s="2"/>
      <c r="P14" s="3"/>
    </row>
    <row r="15" spans="1:16" x14ac:dyDescent="0.3">
      <c r="A15" s="1"/>
      <c r="B15" s="2"/>
      <c r="C15" s="2"/>
      <c r="D15" s="2"/>
      <c r="E15" s="2"/>
      <c r="F15" s="3"/>
      <c r="G15" s="1"/>
      <c r="H15" s="18">
        <v>45356</v>
      </c>
      <c r="I15" s="19">
        <v>0.83839865651185297</v>
      </c>
      <c r="J15" s="2"/>
      <c r="K15" s="24">
        <f t="shared" si="0"/>
        <v>45356</v>
      </c>
      <c r="L15" s="19">
        <f t="shared" si="1"/>
        <v>0.81521157740326122</v>
      </c>
      <c r="M15" s="2"/>
      <c r="N15" s="2"/>
      <c r="O15" s="2"/>
      <c r="P15" s="3"/>
    </row>
    <row r="16" spans="1:16" x14ac:dyDescent="0.3">
      <c r="A16" s="1"/>
      <c r="B16" s="2"/>
      <c r="C16" s="31" t="s">
        <v>7</v>
      </c>
      <c r="D16" s="33"/>
      <c r="E16" s="7">
        <v>6.91</v>
      </c>
      <c r="F16" s="3"/>
      <c r="G16" s="1"/>
      <c r="H16" s="18">
        <v>46086</v>
      </c>
      <c r="I16" s="19">
        <v>0.77865397613279796</v>
      </c>
      <c r="J16" s="2"/>
      <c r="K16" s="24">
        <f t="shared" si="0"/>
        <v>46086</v>
      </c>
      <c r="L16" s="19">
        <f t="shared" si="1"/>
        <v>0.74868679360149404</v>
      </c>
      <c r="M16" s="2"/>
      <c r="N16" s="2"/>
      <c r="O16" s="2"/>
      <c r="P16" s="3"/>
    </row>
    <row r="17" spans="1:16" x14ac:dyDescent="0.3">
      <c r="A17" s="1"/>
      <c r="B17" s="2"/>
      <c r="C17" s="31" t="s">
        <v>8</v>
      </c>
      <c r="D17" s="33"/>
      <c r="E17" s="8">
        <v>0.25</v>
      </c>
      <c r="F17" s="3"/>
      <c r="G17" s="1"/>
      <c r="H17" s="18">
        <v>47182</v>
      </c>
      <c r="I17" s="19">
        <v>0.67753328379142497</v>
      </c>
      <c r="J17" s="2"/>
      <c r="K17" s="24">
        <f t="shared" si="0"/>
        <v>47182</v>
      </c>
      <c r="L17" s="19">
        <f t="shared" si="1"/>
        <v>0.64059492126421302</v>
      </c>
      <c r="M17" s="2"/>
      <c r="N17" s="2"/>
      <c r="O17" s="2"/>
      <c r="P17" s="3"/>
    </row>
    <row r="18" spans="1:16" x14ac:dyDescent="0.3">
      <c r="A18" s="1"/>
      <c r="B18" s="2"/>
      <c r="C18" s="31" t="s">
        <v>9</v>
      </c>
      <c r="D18" s="33"/>
      <c r="E18" s="8">
        <v>0</v>
      </c>
      <c r="F18" s="3"/>
      <c r="G18" s="1"/>
      <c r="H18" s="2"/>
      <c r="I18" s="2"/>
      <c r="J18" s="2"/>
      <c r="K18" s="2"/>
      <c r="L18" s="2"/>
      <c r="M18" s="2"/>
      <c r="N18" s="2"/>
      <c r="O18" s="2"/>
      <c r="P18" s="3"/>
    </row>
    <row r="19" spans="1:16" x14ac:dyDescent="0.3">
      <c r="A19" s="1"/>
      <c r="B19" s="2"/>
      <c r="C19" s="31" t="s">
        <v>10</v>
      </c>
      <c r="D19" s="33"/>
      <c r="E19" s="9">
        <f>'0319'!E19</f>
        <v>5.5999999999999999E-3</v>
      </c>
      <c r="F19" s="3"/>
      <c r="G19" s="1"/>
      <c r="H19" s="2"/>
      <c r="I19" s="2"/>
      <c r="J19" s="2"/>
      <c r="K19" s="2"/>
      <c r="L19" s="2"/>
      <c r="M19" s="2"/>
      <c r="N19" s="2"/>
      <c r="O19" s="2"/>
      <c r="P19" s="3"/>
    </row>
    <row r="20" spans="1:16" x14ac:dyDescent="0.3">
      <c r="A20" s="1"/>
      <c r="B20" s="2"/>
      <c r="C20" s="31" t="s">
        <v>19</v>
      </c>
      <c r="D20" s="31"/>
      <c r="E20" s="25">
        <v>34052633596</v>
      </c>
      <c r="F20" s="3"/>
      <c r="G20" s="1"/>
      <c r="H20" s="2"/>
      <c r="I20" s="2"/>
      <c r="J20" s="2"/>
      <c r="K20" s="2"/>
      <c r="L20" s="2"/>
      <c r="M20" s="2"/>
      <c r="N20" s="2"/>
      <c r="O20" s="2"/>
      <c r="P20" s="3"/>
    </row>
    <row r="21" spans="1:16" ht="15" thickBot="1" x14ac:dyDescent="0.35">
      <c r="A21" s="10"/>
      <c r="B21" s="11"/>
      <c r="C21" s="11"/>
      <c r="D21" s="11"/>
      <c r="E21" s="11"/>
      <c r="F21" s="12"/>
      <c r="G21" s="10"/>
      <c r="H21" s="11"/>
      <c r="I21" s="11"/>
      <c r="J21" s="11"/>
      <c r="K21" s="11"/>
      <c r="L21" s="11"/>
      <c r="M21" s="11"/>
      <c r="N21" s="11"/>
      <c r="O21" s="11"/>
      <c r="P21" s="12"/>
    </row>
    <row r="23" spans="1:16" x14ac:dyDescent="0.3">
      <c r="E23">
        <f ca="1">CiticValuation(E3,E4,E5,D8,E8,D10,E10,E16,E17,E18,H4:I17,K4:L17,E12,E13,N4:O9,E14,E20)</f>
        <v>44053014322.242683</v>
      </c>
      <c r="F23">
        <f ca="1">CiticValuation(E3,E4,E5,D8,E8,D10,F10,E16,E17,E18,H4:I17,K4:L17,E12,E13,N4:O9,E14,E20)</f>
        <v>37228830917.250954</v>
      </c>
    </row>
    <row r="24" spans="1:16" x14ac:dyDescent="0.3">
      <c r="F24" s="13">
        <f ca="1">E23-F23</f>
        <v>6824183404.9917297</v>
      </c>
    </row>
  </sheetData>
  <mergeCells count="17">
    <mergeCell ref="H2:I2"/>
    <mergeCell ref="K2:L2"/>
    <mergeCell ref="N2:O2"/>
    <mergeCell ref="A1:P1"/>
    <mergeCell ref="C13:D13"/>
    <mergeCell ref="C20:D20"/>
    <mergeCell ref="C3:D3"/>
    <mergeCell ref="C4:D4"/>
    <mergeCell ref="C5:D5"/>
    <mergeCell ref="C12:D12"/>
    <mergeCell ref="C9:D9"/>
    <mergeCell ref="C7:D7"/>
    <mergeCell ref="C14:D14"/>
    <mergeCell ref="C16:D16"/>
    <mergeCell ref="C17:D17"/>
    <mergeCell ref="C18:D18"/>
    <mergeCell ref="C19:D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7"/>
  <dimension ref="A1:P25"/>
  <sheetViews>
    <sheetView topLeftCell="A7" workbookViewId="0">
      <selection activeCell="G19" sqref="G19"/>
    </sheetView>
  </sheetViews>
  <sheetFormatPr defaultRowHeight="14.4" x14ac:dyDescent="0.3"/>
  <cols>
    <col min="3" max="3" width="11" bestFit="1" customWidth="1"/>
    <col min="4" max="4" width="9.5546875" bestFit="1" customWidth="1"/>
    <col min="5" max="5" width="16.88671875" bestFit="1" customWidth="1"/>
    <col min="6" max="6" width="15.5546875" bestFit="1" customWidth="1"/>
    <col min="8" max="8" width="11.109375" customWidth="1"/>
    <col min="9" max="9" width="15.5546875" customWidth="1"/>
    <col min="11" max="11" width="10.88671875" customWidth="1"/>
    <col min="12" max="12" width="15.5546875" customWidth="1"/>
    <col min="14" max="14" width="21.5546875" customWidth="1"/>
    <col min="15" max="16" width="21.21875" customWidth="1"/>
  </cols>
  <sheetData>
    <row r="1" spans="1:16" ht="18.600000000000001" thickBot="1" x14ac:dyDescent="0.4">
      <c r="A1" s="36" t="s">
        <v>22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</row>
    <row r="2" spans="1:16" ht="14.4" customHeight="1" thickBot="1" x14ac:dyDescent="0.35">
      <c r="A2" s="1"/>
      <c r="B2" s="2"/>
      <c r="C2" s="2"/>
      <c r="D2" s="2"/>
      <c r="E2" s="2"/>
      <c r="F2" s="3"/>
      <c r="G2" s="21"/>
      <c r="H2" s="34" t="s">
        <v>20</v>
      </c>
      <c r="I2" s="35"/>
      <c r="J2" s="22"/>
      <c r="K2" s="34" t="s">
        <v>21</v>
      </c>
      <c r="L2" s="35"/>
      <c r="M2" s="22"/>
      <c r="N2" s="34" t="s">
        <v>18</v>
      </c>
      <c r="O2" s="35"/>
      <c r="P2" s="23"/>
    </row>
    <row r="3" spans="1:16" x14ac:dyDescent="0.3">
      <c r="A3" s="1"/>
      <c r="B3" s="2"/>
      <c r="C3" s="31" t="s">
        <v>1</v>
      </c>
      <c r="D3" s="31"/>
      <c r="E3" s="4">
        <v>43543</v>
      </c>
      <c r="F3" s="3"/>
      <c r="G3" s="1"/>
      <c r="H3" s="17" t="s">
        <v>15</v>
      </c>
      <c r="I3" s="17" t="s">
        <v>16</v>
      </c>
      <c r="J3" s="2"/>
      <c r="K3" s="17" t="s">
        <v>15</v>
      </c>
      <c r="L3" s="17" t="s">
        <v>16</v>
      </c>
      <c r="M3" s="2"/>
      <c r="N3" s="17" t="s">
        <v>0</v>
      </c>
      <c r="O3" s="17" t="s">
        <v>17</v>
      </c>
      <c r="P3" s="3"/>
    </row>
    <row r="4" spans="1:16" x14ac:dyDescent="0.3">
      <c r="A4" s="1"/>
      <c r="B4" s="2"/>
      <c r="C4" s="31" t="s">
        <v>2</v>
      </c>
      <c r="D4" s="31"/>
      <c r="E4" s="4">
        <v>43528</v>
      </c>
      <c r="F4" s="3"/>
      <c r="G4" s="1"/>
      <c r="H4" s="18">
        <v>43543</v>
      </c>
      <c r="I4" s="19">
        <v>1</v>
      </c>
      <c r="J4" s="2"/>
      <c r="K4" s="14">
        <f>H4</f>
        <v>43543</v>
      </c>
      <c r="L4" s="6">
        <v>1</v>
      </c>
      <c r="M4" s="2"/>
      <c r="N4" s="18">
        <v>43894</v>
      </c>
      <c r="O4" s="20">
        <v>3.0000000000000001E-3</v>
      </c>
      <c r="P4" s="3"/>
    </row>
    <row r="5" spans="1:16" x14ac:dyDescent="0.3">
      <c r="A5" s="1"/>
      <c r="B5" s="2"/>
      <c r="C5" s="31" t="s">
        <v>3</v>
      </c>
      <c r="D5" s="31"/>
      <c r="E5" s="4">
        <v>45719</v>
      </c>
      <c r="F5" s="3"/>
      <c r="G5" s="1"/>
      <c r="H5" s="18">
        <v>43550</v>
      </c>
      <c r="I5" s="19">
        <v>0.99946999999999997</v>
      </c>
      <c r="J5" s="2"/>
      <c r="K5" s="14">
        <f t="shared" ref="K5:K17" si="0">H5</f>
        <v>43550</v>
      </c>
      <c r="L5" s="19">
        <f>EXP(-(-LN(I5)/YEARFRAC($K$4,K5,3)+$E$19)*YEARFRAC($K$4,K5,3))</f>
        <v>0.9993626654240968</v>
      </c>
      <c r="M5" s="2"/>
      <c r="N5" s="18">
        <v>44259</v>
      </c>
      <c r="O5" s="20">
        <v>8.0000000000000002E-3</v>
      </c>
      <c r="P5" s="3"/>
    </row>
    <row r="6" spans="1:16" x14ac:dyDescent="0.3">
      <c r="A6" s="1"/>
      <c r="B6" s="2"/>
      <c r="C6" s="15"/>
      <c r="D6" s="15"/>
      <c r="E6" s="2"/>
      <c r="F6" s="3"/>
      <c r="G6" s="1"/>
      <c r="H6" s="18">
        <v>43558</v>
      </c>
      <c r="I6" s="19">
        <v>0.998838</v>
      </c>
      <c r="J6" s="2"/>
      <c r="K6" s="14">
        <f t="shared" si="0"/>
        <v>43558</v>
      </c>
      <c r="L6" s="19">
        <f t="shared" ref="L6:L17" si="1">EXP(-(-LN(I6)/YEARFRAC($K$4,K6,3)+$E$19)*YEARFRAC($K$4,K6,3))</f>
        <v>0.99860815688159243</v>
      </c>
      <c r="M6" s="2"/>
      <c r="N6" s="18">
        <v>44624</v>
      </c>
      <c r="O6" s="20">
        <v>1.4999999999999999E-2</v>
      </c>
      <c r="P6" s="3"/>
    </row>
    <row r="7" spans="1:16" x14ac:dyDescent="0.3">
      <c r="A7" s="1"/>
      <c r="B7" s="2"/>
      <c r="C7" s="31" t="s">
        <v>12</v>
      </c>
      <c r="D7" s="31"/>
      <c r="E7" s="16" t="s">
        <v>13</v>
      </c>
      <c r="F7" s="3"/>
      <c r="G7" s="1"/>
      <c r="H7" s="18">
        <v>43577</v>
      </c>
      <c r="I7" s="19">
        <v>0.99739199999999995</v>
      </c>
      <c r="J7" s="2"/>
      <c r="K7" s="14">
        <f t="shared" si="0"/>
        <v>43577</v>
      </c>
      <c r="L7" s="19">
        <f t="shared" si="1"/>
        <v>0.99687185228922515</v>
      </c>
      <c r="M7" s="2"/>
      <c r="N7" s="18">
        <v>44989</v>
      </c>
      <c r="O7" s="20">
        <v>2.3E-2</v>
      </c>
      <c r="P7" s="3"/>
    </row>
    <row r="8" spans="1:16" x14ac:dyDescent="0.3">
      <c r="A8" s="1"/>
      <c r="B8" s="2"/>
      <c r="C8" s="15"/>
      <c r="D8" s="4">
        <v>43719</v>
      </c>
      <c r="E8" s="6">
        <v>100</v>
      </c>
      <c r="F8" s="3"/>
      <c r="G8" s="1"/>
      <c r="H8" s="18">
        <v>43636</v>
      </c>
      <c r="I8" s="19">
        <v>0.99283699999999997</v>
      </c>
      <c r="J8" s="2"/>
      <c r="K8" s="14">
        <f t="shared" si="0"/>
        <v>43636</v>
      </c>
      <c r="L8" s="19">
        <f t="shared" si="1"/>
        <v>0.99142138138397307</v>
      </c>
      <c r="M8" s="2"/>
      <c r="N8" s="18">
        <v>45355</v>
      </c>
      <c r="O8" s="20">
        <v>3.2000000000000001E-2</v>
      </c>
      <c r="P8" s="3"/>
    </row>
    <row r="9" spans="1:16" x14ac:dyDescent="0.3">
      <c r="A9" s="1"/>
      <c r="B9" s="2"/>
      <c r="C9" s="31" t="s">
        <v>14</v>
      </c>
      <c r="D9" s="31"/>
      <c r="E9" s="16" t="s">
        <v>11</v>
      </c>
      <c r="F9" s="3"/>
      <c r="G9" s="1"/>
      <c r="H9" s="18">
        <v>43728</v>
      </c>
      <c r="I9" s="19">
        <v>0.98543999999999998</v>
      </c>
      <c r="J9" s="2"/>
      <c r="K9" s="14">
        <f t="shared" si="0"/>
        <v>43728</v>
      </c>
      <c r="L9" s="19">
        <f t="shared" si="1"/>
        <v>0.98264693603167441</v>
      </c>
      <c r="M9" s="2"/>
      <c r="N9" s="18">
        <v>45719</v>
      </c>
      <c r="O9" s="20">
        <v>0.04</v>
      </c>
      <c r="P9" s="3"/>
    </row>
    <row r="10" spans="1:16" x14ac:dyDescent="0.3">
      <c r="A10" s="1"/>
      <c r="B10" s="2"/>
      <c r="C10" s="15"/>
      <c r="D10" s="4">
        <v>43719</v>
      </c>
      <c r="E10" s="26">
        <v>7.45</v>
      </c>
      <c r="F10" s="26">
        <v>0</v>
      </c>
      <c r="G10" s="1"/>
      <c r="H10" s="18">
        <v>43819</v>
      </c>
      <c r="I10" s="19">
        <v>0.97787500000000005</v>
      </c>
      <c r="J10" s="2"/>
      <c r="K10" s="14">
        <f t="shared" si="0"/>
        <v>43819</v>
      </c>
      <c r="L10" s="19">
        <f t="shared" si="1"/>
        <v>0.97374292307590915</v>
      </c>
      <c r="M10" s="2"/>
      <c r="N10" s="2"/>
      <c r="O10" s="2"/>
      <c r="P10" s="3"/>
    </row>
    <row r="11" spans="1:16" x14ac:dyDescent="0.3">
      <c r="A11" s="1"/>
      <c r="B11" s="2"/>
      <c r="C11" s="2"/>
      <c r="D11" s="2"/>
      <c r="E11" s="2"/>
      <c r="F11" s="3"/>
      <c r="G11" s="1"/>
      <c r="H11" s="18">
        <v>43910</v>
      </c>
      <c r="I11" s="19">
        <v>0.97017500000000001</v>
      </c>
      <c r="J11" s="2"/>
      <c r="K11" s="14">
        <f t="shared" si="0"/>
        <v>43910</v>
      </c>
      <c r="L11" s="19">
        <f t="shared" si="1"/>
        <v>0.96472760093279608</v>
      </c>
      <c r="M11" s="2"/>
      <c r="N11" s="2"/>
      <c r="O11" s="2"/>
      <c r="P11" s="3"/>
    </row>
    <row r="12" spans="1:16" x14ac:dyDescent="0.3">
      <c r="A12" s="1"/>
      <c r="B12" s="2"/>
      <c r="C12" s="32" t="s">
        <v>4</v>
      </c>
      <c r="D12" s="32"/>
      <c r="E12" s="5">
        <v>40000000000</v>
      </c>
      <c r="F12" s="3"/>
      <c r="G12" s="1"/>
      <c r="H12" s="18">
        <v>44277</v>
      </c>
      <c r="I12" s="19">
        <v>0.93869400000000003</v>
      </c>
      <c r="J12" s="2"/>
      <c r="K12" s="14">
        <f t="shared" si="0"/>
        <v>44277</v>
      </c>
      <c r="L12" s="19">
        <f t="shared" si="1"/>
        <v>0.92818231873248602</v>
      </c>
      <c r="M12" s="2"/>
      <c r="N12" s="2"/>
      <c r="O12" s="2"/>
      <c r="P12" s="3"/>
    </row>
    <row r="13" spans="1:16" x14ac:dyDescent="0.3">
      <c r="A13" s="1"/>
      <c r="B13" s="2"/>
      <c r="C13" s="32" t="s">
        <v>5</v>
      </c>
      <c r="D13" s="32"/>
      <c r="E13" s="6">
        <v>3</v>
      </c>
      <c r="F13" s="3"/>
      <c r="G13" s="1"/>
      <c r="H13" s="18">
        <v>44641</v>
      </c>
      <c r="I13" s="19">
        <v>0.90659999999999996</v>
      </c>
      <c r="J13" s="2"/>
      <c r="K13" s="14">
        <f t="shared" si="0"/>
        <v>44641</v>
      </c>
      <c r="L13" s="19">
        <f t="shared" si="1"/>
        <v>0.89145531361829911</v>
      </c>
      <c r="M13" s="2"/>
      <c r="N13" s="2"/>
      <c r="O13" s="2"/>
      <c r="P13" s="3"/>
    </row>
    <row r="14" spans="1:16" x14ac:dyDescent="0.3">
      <c r="A14" s="1"/>
      <c r="B14" s="2"/>
      <c r="C14" s="31" t="s">
        <v>6</v>
      </c>
      <c r="D14" s="33"/>
      <c r="E14" s="27">
        <v>400</v>
      </c>
      <c r="F14" s="3"/>
      <c r="G14" s="1"/>
      <c r="H14" s="18">
        <v>45005</v>
      </c>
      <c r="I14" s="19">
        <v>0.873224</v>
      </c>
      <c r="J14" s="2"/>
      <c r="K14" s="14">
        <f t="shared" si="0"/>
        <v>45005</v>
      </c>
      <c r="L14" s="19">
        <f t="shared" si="1"/>
        <v>0.85385502931559476</v>
      </c>
      <c r="M14" s="2"/>
      <c r="N14" s="2"/>
      <c r="O14" s="2"/>
      <c r="P14" s="3"/>
    </row>
    <row r="15" spans="1:16" x14ac:dyDescent="0.3">
      <c r="A15" s="1"/>
      <c r="B15" s="2"/>
      <c r="C15" s="2"/>
      <c r="D15" s="2"/>
      <c r="E15" s="2"/>
      <c r="F15" s="3"/>
      <c r="G15" s="1"/>
      <c r="H15" s="18">
        <v>45371</v>
      </c>
      <c r="I15" s="19">
        <v>0.83966700000000005</v>
      </c>
      <c r="J15" s="2"/>
      <c r="K15" s="14">
        <f t="shared" si="0"/>
        <v>45371</v>
      </c>
      <c r="L15" s="19">
        <f t="shared" si="1"/>
        <v>0.81644484309092746</v>
      </c>
      <c r="M15" s="2"/>
      <c r="N15" s="2"/>
      <c r="O15" s="2"/>
      <c r="P15" s="3"/>
    </row>
    <row r="16" spans="1:16" x14ac:dyDescent="0.3">
      <c r="A16" s="1"/>
      <c r="B16" s="2"/>
      <c r="C16" s="31" t="s">
        <v>7</v>
      </c>
      <c r="D16" s="33"/>
      <c r="E16" s="7">
        <v>6.4</v>
      </c>
      <c r="F16" s="3"/>
      <c r="G16" s="1"/>
      <c r="H16" s="18">
        <v>46101</v>
      </c>
      <c r="I16" s="19">
        <v>0.78119400000000006</v>
      </c>
      <c r="J16" s="2"/>
      <c r="K16" s="14">
        <f t="shared" si="0"/>
        <v>46101</v>
      </c>
      <c r="L16" s="19">
        <f t="shared" si="1"/>
        <v>0.75112906241806332</v>
      </c>
      <c r="M16" s="2"/>
      <c r="N16" s="2"/>
      <c r="O16" s="2"/>
      <c r="P16" s="3"/>
    </row>
    <row r="17" spans="1:16" x14ac:dyDescent="0.3">
      <c r="A17" s="1"/>
      <c r="B17" s="2"/>
      <c r="C17" s="31" t="s">
        <v>8</v>
      </c>
      <c r="D17" s="33"/>
      <c r="E17" s="8">
        <v>0.25</v>
      </c>
      <c r="F17" s="3"/>
      <c r="G17" s="1"/>
      <c r="H17" s="18">
        <v>47197</v>
      </c>
      <c r="I17" s="19">
        <v>0.68029200000000001</v>
      </c>
      <c r="J17" s="2"/>
      <c r="K17" s="14">
        <f t="shared" si="0"/>
        <v>47197</v>
      </c>
      <c r="L17" s="19">
        <f t="shared" si="1"/>
        <v>0.64320323532744739</v>
      </c>
      <c r="M17" s="2"/>
      <c r="N17" s="2"/>
      <c r="O17" s="2"/>
      <c r="P17" s="3"/>
    </row>
    <row r="18" spans="1:16" x14ac:dyDescent="0.3">
      <c r="A18" s="1"/>
      <c r="B18" s="2"/>
      <c r="C18" s="31" t="s">
        <v>9</v>
      </c>
      <c r="D18" s="33"/>
      <c r="E18" s="8">
        <v>0</v>
      </c>
      <c r="F18" s="3"/>
      <c r="G18" s="1"/>
      <c r="H18" s="2"/>
      <c r="I18" s="2"/>
      <c r="J18" s="2"/>
      <c r="K18" s="2"/>
      <c r="L18" s="2"/>
      <c r="M18" s="2"/>
      <c r="N18" s="2"/>
      <c r="O18" s="2"/>
      <c r="P18" s="3"/>
    </row>
    <row r="19" spans="1:16" x14ac:dyDescent="0.3">
      <c r="A19" s="1"/>
      <c r="B19" s="2"/>
      <c r="C19" s="31" t="s">
        <v>10</v>
      </c>
      <c r="D19" s="33"/>
      <c r="E19" s="9">
        <v>5.5999999999999999E-3</v>
      </c>
      <c r="F19" s="3"/>
      <c r="G19" s="1"/>
      <c r="H19" s="2"/>
      <c r="I19" s="2"/>
      <c r="J19" s="2"/>
      <c r="K19" s="2"/>
      <c r="L19" s="2"/>
      <c r="M19" s="2"/>
      <c r="N19" s="2"/>
      <c r="O19" s="2"/>
      <c r="P19" s="3"/>
    </row>
    <row r="20" spans="1:16" x14ac:dyDescent="0.3">
      <c r="A20" s="1"/>
      <c r="B20" s="2"/>
      <c r="C20" s="31" t="s">
        <v>19</v>
      </c>
      <c r="D20" s="31"/>
      <c r="E20" s="25">
        <v>34052633596</v>
      </c>
      <c r="F20" s="3"/>
      <c r="G20" s="1"/>
      <c r="H20" s="2"/>
      <c r="I20" s="2"/>
      <c r="J20" s="2"/>
      <c r="K20" s="2"/>
      <c r="L20" s="2"/>
      <c r="M20" s="2"/>
      <c r="N20" s="2"/>
      <c r="O20" s="2"/>
      <c r="P20" s="3"/>
    </row>
    <row r="21" spans="1:16" ht="15" thickBot="1" x14ac:dyDescent="0.35">
      <c r="A21" s="10"/>
      <c r="B21" s="11"/>
      <c r="C21" s="11"/>
      <c r="D21" s="11"/>
      <c r="E21" s="11"/>
      <c r="F21" s="12"/>
      <c r="G21" s="10"/>
      <c r="H21" s="11"/>
      <c r="I21" s="11"/>
      <c r="J21" s="11"/>
      <c r="K21" s="11"/>
      <c r="L21" s="11"/>
      <c r="M21" s="11"/>
      <c r="N21" s="11"/>
      <c r="O21" s="11"/>
      <c r="P21" s="12"/>
    </row>
    <row r="23" spans="1:16" x14ac:dyDescent="0.3">
      <c r="C23">
        <f ca="1">E12/E10</f>
        <v>5369127516.7785234</v>
      </c>
      <c r="E23" s="13">
        <f ca="1">CiticValuation(E3,E4,E5,D8,E8,D10,E10,E16,E17,E18,H4:I17,K4:L17,E12,E13,N4:O9,E14,E20)-YEARFRAC(E4,E3,E13)*E12*O4</f>
        <v>43201724715.033104</v>
      </c>
      <c r="F23">
        <f ca="1">CiticValuation(E3,E4,E5,D8,E8,D10,F10,E16,E17,E18,H4:I17,K4:L17,E12,E13,N4:O9,E14,E20)-YEARFRAC(E4,E3,E13)*E12*O4</f>
        <v>37561785105.520271</v>
      </c>
    </row>
    <row r="24" spans="1:16" x14ac:dyDescent="0.3">
      <c r="E24" s="28">
        <f ca="1">E23/E12</f>
        <v>1.0800431178758276</v>
      </c>
      <c r="F24" s="29">
        <f ca="1">E23-F23</f>
        <v>5639939609.5128326</v>
      </c>
    </row>
    <row r="25" spans="1:16" x14ac:dyDescent="0.3">
      <c r="C25" s="30">
        <f ca="1">C23/E20</f>
        <v>0.15767143242069856</v>
      </c>
    </row>
  </sheetData>
  <mergeCells count="17">
    <mergeCell ref="C16:D16"/>
    <mergeCell ref="C17:D17"/>
    <mergeCell ref="C18:D18"/>
    <mergeCell ref="C19:D19"/>
    <mergeCell ref="C20:D20"/>
    <mergeCell ref="C14:D14"/>
    <mergeCell ref="A1:P1"/>
    <mergeCell ref="H2:I2"/>
    <mergeCell ref="K2:L2"/>
    <mergeCell ref="N2:O2"/>
    <mergeCell ref="C3:D3"/>
    <mergeCell ref="C4:D4"/>
    <mergeCell ref="C5:D5"/>
    <mergeCell ref="C7:D7"/>
    <mergeCell ref="C9:D9"/>
    <mergeCell ref="C12:D12"/>
    <mergeCell ref="C13:D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0304</vt:lpstr>
      <vt:lpstr>0319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2020-01-02T05:07:36Z</dcterms:modified>
</cp:coreProperties>
</file>